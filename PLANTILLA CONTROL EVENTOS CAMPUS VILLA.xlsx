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6bbd58ee8a4674" /></Relationships>
</file>

<file path=xl/workbook.xml><?xml version="1.0" encoding="utf-8"?>
<x:workbook xmlns:x="http://schemas.openxmlformats.org/spreadsheetml/2006/main">
  <x:sheets>
    <x:sheet xmlns:r="http://schemas.openxmlformats.org/officeDocument/2006/relationships" name="EVENTOS" sheetId="1" r:id="R144d86e73d71457d"/>
    <x:sheet xmlns:r="http://schemas.openxmlformats.org/officeDocument/2006/relationships" name="LISTAS" sheetId="2" r:id="Ra743f4d5e8824fb1"/>
    <x:sheet xmlns:r="http://schemas.openxmlformats.org/officeDocument/2006/relationships" name="RESUMEN" sheetId="3" r:id="R20409057b4ad43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hh:mm"/>
  </x:numFmts>
  <x:fonts count="4">
    <x:font>
      <x:sz val="11"/>
      <x:name val="Carlito"/>
    </x:font>
    <x:font>
      <x:b/>
      <x:sz val="11"/>
      <x:color rgb="FFFFFF"/>
      <x:name val="Carlito"/>
    </x:font>
    <x:font>
      <x:b/>
      <x:sz val="16"/>
      <x:color rgb="FFFFFF"/>
      <x:name val="Carlito"/>
    </x:font>
    <x:font>
      <x:b/>
      <x:sz val="11"/>
      <x:name val="Carlito"/>
    </x:font>
  </x:fonts>
  <x:fills count="4">
    <x:fill>
      <x:patternFill patternType="none"/>
    </x:fill>
    <x:fill>
      <x:patternFill patternType="gray125"/>
    </x:fill>
    <x:fill>
      <x:patternFill patternType="solid">
        <x:fgColor rgb="7A0019"/>
      </x:patternFill>
    </x:fill>
    <x:fill>
      <x:patternFill patternType="solid">
        <x:fgColor rgb="1F2937"/>
      </x:patternFill>
    </x:fill>
  </x:fills>
  <x:borders count="2">
    <x:border/>
    <x:border/>
  </x:borders>
  <x:cellStyleXfs count="1">
    <x:xf numFmtId="0" fontId="0" fillId="0" borderId="0"/>
  </x:cellStyleXfs>
  <x:cellXfs count="2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0" fillId="3" borderId="1" xfId="0" applyNumberFormat="1" applyFont="1" applyFill="1" applyBorder="1"/>
    <x:xf numFmtId="0" fontId="1" fillId="3" borderId="1" xfId="0" applyNumberFormat="1" applyFont="1" applyFill="1" applyBorder="1"/>
    <x:xf numFmtId="0" fontId="1" fillId="3" borderId="1" xfId="0" applyNumberFormat="1" applyFont="1" applyFill="1" applyBorder="1" applyAlignment="1">
      <x:alignment horizontal="center"/>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3" fillId="0" borderId="0" xfId="0" applyNumberFormat="1" applyFont="1" applyFill="1" applyBorder="1"/>
  </x:cellXfs>
  <x:cellStyles count="1">
    <x:cellStyle name="Normal" xfId="0"/>
  </x:cellStyles>
  <x:dxfs count="5">
    <x:dxf>
      <x:font>
        <x:b/>
        <x:color rgb="991B1B"/>
      </x:font>
      <x:fill>
        <x:patternFill patternType="solid">
          <x:bgColor rgb="FEE2E2"/>
        </x:patternFill>
      </x:fill>
    </x:dxf>
    <x:dxf>
      <x:font>
        <x:b/>
        <x:color rgb="92400E"/>
      </x:font>
      <x:fill>
        <x:patternFill patternType="solid">
          <x:bgColor rgb="FEF3C7"/>
        </x:patternFill>
      </x:fill>
    </x:dxf>
    <x:dxf>
      <x:font>
        <x:b/>
        <x:color rgb="166534"/>
      </x:font>
      <x:fill>
        <x:patternFill patternType="solid">
          <x:bgColor rgb="DCFCE7"/>
        </x:patternFill>
      </x:fill>
    </x:dxf>
    <x:dxf>
      <x:font>
        <x:b/>
        <x:color rgb="166534"/>
      </x:font>
      <x:fill>
        <x:patternFill patternType="solid">
          <x:bgColor rgb="DCFCE7"/>
        </x:patternFill>
      </x:fill>
    </x:dxf>
    <x:dxf>
      <x:font>
        <x:b/>
        <x:color rgb="92400E"/>
      </x:font>
      <x:fill>
        <x:patternFill patternType="solid">
          <x:bgColor rgb="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259e013f17c402c" /><Relationship Type="http://schemas.openxmlformats.org/officeDocument/2006/relationships/theme" Target="/xl/theme/theme1.xml" Id="R7f7124c667c944e0" /><Relationship Type="http://schemas.openxmlformats.org/officeDocument/2006/relationships/sharedStrings" Target="/xl/sharedStrings.xml" Id="Ra60060e635bc4281" /><Relationship Type="http://schemas.openxmlformats.org/officeDocument/2006/relationships/worksheet" Target="/xl/worksheets/sheet1.xml" Id="R144d86e73d71457d" /><Relationship Type="http://schemas.openxmlformats.org/officeDocument/2006/relationships/worksheet" Target="/xl/worksheets/sheet2.xml" Id="Ra743f4d5e8824fb1" /><Relationship Type="http://schemas.openxmlformats.org/officeDocument/2006/relationships/worksheet" Target="/xl/worksheets/sheet3.xml" Id="R20409057b4ad43c9" /></Relationships>
</file>

<file path=xl/tables/table1.xml><?xml version="1.0" encoding="utf-8"?>
<x:table xmlns:x="http://schemas.openxmlformats.org/spreadsheetml/2006/main" id="1" name="TablaEventosV4" displayName="TablaEventosV4" ref="A1:J14" headerRowCount="1">
  <x:tableColumns count="10">
    <x:tableColumn id="1" name="Fecha"/>
    <x:tableColumn id="2" name="Hora"/>
    <x:tableColumn id="3" name="Área Solicitante"/>
    <x:tableColumn id="4" name="N° OT"/>
    <x:tableColumn id="5" name="Evento / Actividad"/>
    <x:tableColumn id="6" name="Ubicación"/>
    <x:tableColumn id="7" name="Requerimientos"/>
    <x:tableColumn id="8" name="Prioridad"/>
    <x:tableColumn id="9" name="Categoría"/>
    <x:tableColumn id="10" name="Estado"/>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0ff13d62df54693" /></Relationships>
</file>

<file path=xl/worksheets/sheet1.xml><?xml version="1.0" encoding="utf-8"?>
<x:worksheet xmlns:x="http://schemas.openxmlformats.org/spreadsheetml/2006/main">
  <x:sheetFormatPr defaultRowHeight="15"/>
  <x:cols>
    <x:col min="1" max="1" width="14" hidden="0" customWidth="1"/>
    <x:col min="2" max="2" width="10" hidden="0" customWidth="1"/>
    <x:col min="3" max="3" width="24" hidden="0" customWidth="1"/>
    <x:col min="4" max="4" width="16" hidden="0" customWidth="1"/>
    <x:col min="5" max="5" width="34" hidden="0" customWidth="1"/>
    <x:col min="6" max="6" width="34" hidden="0" customWidth="1"/>
    <x:col min="7" max="7" width="48" hidden="0" customWidth="1"/>
    <x:col min="8" max="8" width="14" hidden="0" customWidth="1"/>
    <x:col min="9" max="9" width="18" hidden="0" customWidth="1"/>
    <x:col min="10" max="10" width="16" hidden="0" customWidth="1"/>
  </x:cols>
  <x:sheetData>
    <x:row r="1" ht="26" customHeight="1">
      <x:c r="A1" s="5" t="str">
        <x:v>Fecha</x:v>
      </x:c>
      <x:c r="B1" s="5" t="str">
        <x:v>Hora</x:v>
      </x:c>
      <x:c r="C1" s="5" t="str">
        <x:v>Área Solicitante</x:v>
      </x:c>
      <x:c r="D1" s="5" t="str">
        <x:v>N° OT</x:v>
      </x:c>
      <x:c r="E1" s="5" t="str">
        <x:v>Evento / Actividad</x:v>
      </x:c>
      <x:c r="F1" s="5" t="str">
        <x:v>Ubicación</x:v>
      </x:c>
      <x:c r="G1" s="5" t="str">
        <x:v>Requerimientos</x:v>
      </x:c>
      <x:c r="H1" s="5" t="str">
        <x:v>Prioridad</x:v>
      </x:c>
      <x:c r="I1" s="5" t="str">
        <x:v>Categoría</x:v>
      </x:c>
      <x:c r="J1" s="5" t="str">
        <x:v>Estado</x:v>
      </x:c>
    </x:row>
    <x:row r="2">
      <x:c r="A2" s="12" t="str">
        <x:v>29/05/2026</x:v>
      </x:c>
      <x:c r="B2" s="14" t="str">
        <x:v>08:00</x:v>
      </x:c>
      <x:c r="C2" s="10" t="str">
        <x:v>Seguridad</x:v>
      </x:c>
      <x:c r="D2" s="10" t="str">
        <x:v>OT-00125</x:v>
      </x:c>
      <x:c r="E2" s="10" t="str">
        <x:v>Simulacro Multipeligro</x:v>
      </x:c>
      <x:c r="F2" s="10" t="str"/>
      <x:c r="G2" s="10" t="str">
        <x:v>Coordinación con brigadas y rutas de evacuación</x:v>
      </x:c>
      <x:c r="H2" s="10" t="str">
        <x:v>Alta</x:v>
      </x:c>
      <x:c r="I2" s="10" t="str">
        <x:v>Institucional</x:v>
      </x:c>
      <x:c r="J2" s="10" t="str">
        <x:v>Ejecutado</x:v>
      </x:c>
    </x:row>
    <x:row r="3">
      <x:c r="A3" s="12" t="str">
        <x:v>31/05/2026</x:v>
      </x:c>
      <x:c r="B3" s="14" t="str">
        <x:v>08:00</x:v>
      </x:c>
      <x:c r="C3" s="10" t="str">
        <x:v>VGU</x:v>
      </x:c>
      <x:c r="D3" s="10" t="str">
        <x:v>OT-81043</x:v>
      </x:c>
      <x:c r="E3" s="10" t="str">
        <x:v>evento lote 28</x:v>
      </x:c>
      <x:c r="F3" s="10" t="str"/>
      <x:c r="G3" s="10" t="str">
        <x:v>4 toldos, 4 mesas, 4 manteles, sillas</x:v>
      </x:c>
      <x:c r="H3" s="10" t="str">
        <x:v>Alta</x:v>
      </x:c>
      <x:c r="I3" s="10" t="str">
        <x:v>Institucional</x:v>
      </x:c>
      <x:c r="J3" s="10" t="str">
        <x:v>Pendiente</x:v>
      </x:c>
    </x:row>
    <x:row r="4">
      <x:c r="A4" s="12" t="str">
        <x:v>31/05/2026</x:v>
      </x:c>
      <x:c r="B4" s="14" t="str">
        <x:v>08:00</x:v>
      </x:c>
      <x:c r="C4" s="10" t="str">
        <x:v>Psicopedagogico</x:v>
      </x:c>
      <x:c r="D4" s="10" t="str">
        <x:v>CORREO</x:v>
      </x:c>
      <x:c r="E4" s="10" t="str">
        <x:v>evento lote 28</x:v>
      </x:c>
      <x:c r="F4" s="10" t="str"/>
      <x:c r="G4" s="10" t="str">
        <x:v>1 extension para parlante</x:v>
      </x:c>
      <x:c r="H4" s="10" t="str">
        <x:v>Alta</x:v>
      </x:c>
      <x:c r="I4" s="10" t="str">
        <x:v>Institucional</x:v>
      </x:c>
      <x:c r="J4" s="10" t="str">
        <x:v>Pendiente</x:v>
      </x:c>
    </x:row>
    <x:row r="5">
      <x:c r="A5" s="12" t="str">
        <x:v>31/05/2026</x:v>
      </x:c>
      <x:c r="B5" s="14" t="str">
        <x:v>09:00</x:v>
      </x:c>
      <x:c r="C5" s="10" t="str">
        <x:v>Enfermeria</x:v>
      </x:c>
      <x:c r="D5" s="10" t="str">
        <x:v>CORREO</x:v>
      </x:c>
      <x:c r="E5" s="10" t="str">
        <x:v>Auditorio Pabellon O</x:v>
      </x:c>
      <x:c r="F5" s="10" t="str"/>
      <x:c r="G5" s="10" t="str">
        <x:v>Sillas, Podium, Mesas</x:v>
      </x:c>
      <x:c r="H5" s="10" t="str">
        <x:v>Alta</x:v>
      </x:c>
      <x:c r="I5" s="10" t="str">
        <x:v>Institucional</x:v>
      </x:c>
      <x:c r="J5" s="10" t="str">
        <x:v>Pendiente</x:v>
      </x:c>
    </x:row>
    <x:row r="6">
      <x:c r="A6" s="12" t="str">
        <x:v>31/05/2026</x:v>
      </x:c>
      <x:c r="B6" s="14" t="str">
        <x:v>09:00</x:v>
      </x:c>
      <x:c r="C6" s="10" t="str">
        <x:v>Estomatologia</x:v>
      </x:c>
      <x:c r="D6" s="10" t="str"/>
      <x:c r="E6" s="10" t="str">
        <x:v>Canchas deportivas</x:v>
      </x:c>
      <x:c r="F6" s="10" t="str"/>
      <x:c r="G6" s="10" t="str">
        <x:v>ninguno</x:v>
      </x:c>
      <x:c r="H6" s="10" t="str">
        <x:v>Media</x:v>
      </x:c>
      <x:c r="I6" s="10" t="str">
        <x:v>Institucional</x:v>
      </x:c>
      <x:c r="J6" s="10" t="str">
        <x:v>Pendiente</x:v>
      </x:c>
    </x:row>
    <x:row r="7">
      <x:c r="A7" s="12" t="str">
        <x:v>30/05/2026</x:v>
      </x:c>
      <x:c r="B7" s="14" t="str">
        <x:v>08:00</x:v>
      </x:c>
      <x:c r="C7" s="10" t="str">
        <x:v>Servicios Generrales</x:v>
      </x:c>
      <x:c r="D7" s="10" t="str"/>
      <x:c r="E7" s="10" t="str">
        <x:v>Cumpleaños Juan Hernandez</x:v>
      </x:c>
      <x:c r="F7" s="10" t="str"/>
      <x:c r="G7" s="10" t="str"/>
      <x:c r="H7" s="10" t="str">
        <x:v>Alta</x:v>
      </x:c>
      <x:c r="I7" s="10" t="str">
        <x:v>Equipo villa</x:v>
      </x:c>
      <x:c r="J7" s="10" t="str">
        <x:v>Ejecutado</x:v>
      </x:c>
    </x:row>
    <x:row r="8">
      <x:c r="A8" s="12" t="str">
        <x:v>01/06/2026</x:v>
      </x:c>
      <x:c r="B8" s="14" t="str">
        <x:v>08:00</x:v>
      </x:c>
      <x:c r="C8" s="10" t="str">
        <x:v>SST</x:v>
      </x:c>
      <x:c r="D8" s="10" t="str">
        <x:v>CORREO</x:v>
      </x:c>
      <x:c r="E8" s="10" t="str">
        <x:v>Capacitacion SST</x:v>
      </x:c>
      <x:c r="F8" s="10" t="str"/>
      <x:c r="G8" s="10" t="str">
        <x:v>Presencial</x:v>
      </x:c>
      <x:c r="H8" s="10" t="str">
        <x:v>Alta</x:v>
      </x:c>
      <x:c r="I8" s="10" t="str">
        <x:v>Corporativo</x:v>
      </x:c>
      <x:c r="J8" s="10" t="str">
        <x:v>Pendiente</x:v>
      </x:c>
    </x:row>
    <x:row r="9">
      <x:c r="A9" s="12" t="str">
        <x:v>09/06/2026</x:v>
      </x:c>
      <x:c r="B9" s="14" t="str">
        <x:v>08:00</x:v>
      </x:c>
      <x:c r="C9" s="10" t="str">
        <x:v>CARRERA DE INGIENERIA</x:v>
      </x:c>
      <x:c r="D9" s="10" t="str">
        <x:v>CORREO</x:v>
      </x:c>
      <x:c r="E9" s="10" t="str">
        <x:v>Concurso de Ingieneria Civil</x:v>
      </x:c>
      <x:c r="F9" s="10" t="str"/>
      <x:c r="G9" s="10" t="str">
        <x:v>mesas</x:v>
      </x:c>
      <x:c r="H9" s="10" t="str">
        <x:v>Media</x:v>
      </x:c>
      <x:c r="I9" s="10" t="str">
        <x:v>Institucional</x:v>
      </x:c>
      <x:c r="J9" s="10" t="str">
        <x:v>Pendiente</x:v>
      </x:c>
    </x:row>
    <x:row r="10">
      <x:c r="A10" s="12" t="str">
        <x:v>09/06/2026</x:v>
      </x:c>
      <x:c r="B10" s="14" t="str">
        <x:v>08:00</x:v>
      </x:c>
      <x:c r="C10" s="10" t="str">
        <x:v>CARRERA DE INGIENERIA</x:v>
      </x:c>
      <x:c r="D10" s="10" t="str">
        <x:v>CORREO</x:v>
      </x:c>
      <x:c r="E10" s="10" t="str">
        <x:v>Feria de Papers</x:v>
      </x:c>
      <x:c r="F10" s="10" t="str"/>
      <x:c r="G10" s="10" t="str">
        <x:v>mesas</x:v>
      </x:c>
      <x:c r="H10" s="10" t="str">
        <x:v>Media</x:v>
      </x:c>
      <x:c r="I10" s="10" t="str">
        <x:v>Institucional</x:v>
      </x:c>
      <x:c r="J10" s="10" t="str">
        <x:v>Pendiente</x:v>
      </x:c>
    </x:row>
    <x:row r="11">
      <x:c r="A11" s="12" t="str">
        <x:v>24/06/2026</x:v>
      </x:c>
      <x:c r="B11" s="14" t="str">
        <x:v>08:00</x:v>
      </x:c>
      <x:c r="C11" s="10" t="str">
        <x:v>INGIENERIA AMBIENTAL</x:v>
      </x:c>
      <x:c r="D11" s="10" t="str">
        <x:v>SOL 9606</x:v>
      </x:c>
      <x:c r="E11" s="10" t="str">
        <x:v>Feria Ambiental 2026</x:v>
      </x:c>
      <x:c r="F11" s="10" t="str">
        <x:v>Sede Villa – Hall del Pabellón N</x:v>
      </x:c>
      <x:c r="G11" s="10" t="str">
        <x:v>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x:v>
      </x:c>
      <x:c r="H11" s="10" t="str">
        <x:v>Alta</x:v>
      </x:c>
      <x:c r="I11" s="10" t="str">
        <x:v>Institucional</x:v>
      </x:c>
      <x:c r="J11" s="10" t="str">
        <x:v>Pendiente</x:v>
      </x:c>
    </x:row>
    <x:row r="12">
      <x:c r="A12" s="12" t="str">
        <x:v>25/06/2026</x:v>
      </x:c>
      <x:c r="B12" s="14" t="str">
        <x:v>08:00</x:v>
      </x:c>
      <x:c r="C12" s="10" t="str">
        <x:v>INGIENERIA AMBIENTAL</x:v>
      </x:c>
      <x:c r="D12" s="10" t="str">
        <x:v>sol 9697</x:v>
      </x:c>
      <x:c r="E12" s="10" t="str">
        <x:v>Workshop de Líderes en Circularidad</x:v>
      </x:c>
      <x:c r="F12" s="10" t="str">
        <x:v>Hall del segundo piso – Pabellón O</x:v>
      </x:c>
      <x:c r="G12" s="10" t="str">
        <x:v>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x:v>
      </x:c>
      <x:c r="H12" s="10" t="str">
        <x:v>Alta</x:v>
      </x:c>
      <x:c r="I12" s="10" t="str">
        <x:v>Institucional</x:v>
      </x:c>
      <x:c r="J12" s="10" t="str">
        <x:v>Pendiente</x:v>
      </x:c>
    </x:row>
    <x:row r="13">
      <x:c r="A13" s="12" t="str">
        <x:v>25/06/2026</x:v>
      </x:c>
      <x:c r="B13" s="14" t="str">
        <x:v>08:00</x:v>
      </x:c>
      <x:c r="C13" s="10" t="str">
        <x:v>INGIENERIA AMBIENTAL</x:v>
      </x:c>
      <x:c r="D13" s="10" t="str">
        <x:v>sol 9608</x:v>
      </x:c>
      <x:c r="E13" s="10" t="str">
        <x:v>Ciclo de Conferencias: “Zero Waste: Ecodiseño y Negocios Sostenibles”</x:v>
      </x:c>
      <x:c r="F13" s="10" t="str">
        <x:v>Sede Villa – Hall del Pabellón N</x:v>
      </x:c>
      <x:c r="G13" s="10" t="str">
        <x:v>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x:v>
      </x:c>
      <x:c r="H13" s="10" t="str">
        <x:v>Alta</x:v>
      </x:c>
      <x:c r="I13" s="10" t="str">
        <x:v>Institucional</x:v>
      </x:c>
      <x:c r="J13" s="10" t="str">
        <x:v>Pendiente</x:v>
      </x:c>
    </x:row>
    <x:row r="14">
      <x:c r="A14" s="12" t="str">
        <x:v>22/06/2026</x:v>
      </x:c>
      <x:c r="B14" s="14" t="str">
        <x:v>10:00</x:v>
      </x:c>
      <x:c r="C14" s="10" t="str">
        <x:v>INGIENERIA AMBIENTAL</x:v>
      </x:c>
      <x:c r="D14" s="10" t="str">
        <x:v>sol 9609</x:v>
      </x:c>
      <x:c r="E14" s="10" t="str">
        <x:v>Exhibición: Biomateriales – EKOVA</x:v>
      </x:c>
      <x:c r="F14" s="10" t="str">
        <x:v>Sede Villa – Hall del Pabellón N</x:v>
      </x:c>
      <x:c r="G14" s="10" t="str">
        <x:v>Instalación:
22 de junio – 10:00 a.m.
Retiro:
06 de julio – 10:00 a.m.
Sede Villa – Hall del Pabellón N
Requerimiento:
Retiro parcial de muebles para la implementación de la exhibición
Apoyo para ingreso y salida de materiales</x:v>
      </x:c>
      <x:c r="H14" s="10" t="str">
        <x:v>Alta</x:v>
      </x:c>
      <x:c r="I14" s="10" t="str">
        <x:v>Institucional</x:v>
      </x:c>
      <x:c r="J14" s="10" t="str">
        <x:v>Pendiente</x:v>
      </x:c>
    </x:row>
  </x:sheetData>
  <x:conditionalFormatting sqref="H2:H64">
    <x:cfRule type="expression" dxfId="0" priority="1">
      <x:formula>H2="Alta"</x:formula>
    </x:cfRule>
    <x:cfRule type="expression" dxfId="1" priority="2">
      <x:formula>H2="Media"</x:formula>
    </x:cfRule>
    <x:cfRule type="expression" dxfId="2" priority="3">
      <x:formula>H2="Baja"</x:formula>
    </x:cfRule>
  </x:conditionalFormatting>
  <x:conditionalFormatting sqref="J2:J64">
    <x:cfRule type="expression" dxfId="3" priority="4">
      <x:formula>J2="Ejecutado"</x:formula>
    </x:cfRule>
    <x:cfRule type="expression" dxfId="4" priority="5">
      <x:formula>J2="Pendiente"</x:formula>
    </x:cfRule>
  </x:conditionalFormatting>
  <x:dataValidations count="3">
    <x:dataValidation type="list" sqref="H2:H64">
      <x:formula1>LISTAS!$A$2:$A$4</x:formula1>
    </x:dataValidation>
    <x:dataValidation type="list" sqref="I2:I64">
      <x:formula1>LISTAS!$C$2:$C$7</x:formula1>
    </x:dataValidation>
    <x:dataValidation type="list" sqref="J2:J64">
      <x:formula1>LISTAS!$B$2:$B$5</x:formula1>
    </x:dataValidation>
  </x:dataValidations>
  <x:pageMargins left="0.7" right="0.7" top="0.75" bottom="0.75" header="0.3" footer="0.3"/>
  <x:tableParts count="1">
    <x:tablePart xmlns:r="http://schemas.openxmlformats.org/officeDocument/2006/relationships" r:id="R30ff13d62df54693"/>
  </x:tableParts>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18" hidden="0" customWidth="1"/>
  </x:cols>
  <x:sheetData>
    <x:row r="1">
      <x:c r="A1" s="18" t="str">
        <x:v>Prioridad</x:v>
      </x:c>
      <x:c r="B1" s="18" t="str">
        <x:v>Estado</x:v>
      </x:c>
      <x:c r="C1" s="18" t="str">
        <x:v>Categoría</x:v>
      </x:c>
    </x:row>
    <x:row r="2">
      <x:c r="A2" t="str">
        <x:v>Alta</x:v>
      </x:c>
      <x:c r="B2" t="str">
        <x:v>Programado</x:v>
      </x:c>
      <x:c r="C2" t="str">
        <x:v>Institucional</x:v>
      </x:c>
    </x:row>
    <x:row r="3">
      <x:c r="A3" t="str">
        <x:v>Media</x:v>
      </x:c>
      <x:c r="B3" t="str">
        <x:v>Ejecutado</x:v>
      </x:c>
      <x:c r="C3" t="str">
        <x:v>Académico</x:v>
      </x:c>
    </x:row>
    <x:row r="4">
      <x:c r="A4" t="str">
        <x:v>Baja</x:v>
      </x:c>
      <x:c r="B4" t="str">
        <x:v>Pendiente</x:v>
      </x:c>
      <x:c r="C4" t="str">
        <x:v>Operativo</x:v>
      </x:c>
    </x:row>
    <x:row r="5">
      <x:c r="B5" t="str">
        <x:v>Cancelado</x:v>
      </x:c>
      <x:c r="C5" t="str">
        <x:v>Reunión</x:v>
      </x:c>
    </x:row>
    <x:row r="6">
      <x:c r="C6" t="str">
        <x:v>Corporativo</x:v>
      </x:c>
    </x:row>
    <x:row r="7">
      <x:c r="C7" t="str">
        <x:v>Equipo villa</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s>
  <x:sheetData>
    <x:row r="1" ht="30" customHeight="1">
      <x:c r="A1" s="23" t="str">
        <x:v>CONTROL DE EVENTOS CAMPUS VILLA - RESUMEN</x:v>
      </x:c>
    </x:row>
    <x:row r="3">
      <x:c r="A3" s="17" t="str">
        <x:v>Indicador</x:v>
      </x:c>
      <x:c r="B3" s="17" t="str">
        <x:v>Cantidad</x:v>
      </x:c>
    </x:row>
    <x:row r="4">
      <x:c r="A4" s="26" t="str">
        <x:v>Eventos</x:v>
      </x:c>
      <x:c r="B4" t="n">
        <x:f>COUNTA(EVENTOS!E2:E14)</x:f>
        <x:v>13</x:v>
      </x:c>
    </x:row>
    <x:row r="5">
      <x:c r="A5" s="26" t="str">
        <x:v>Ejecutados</x:v>
      </x:c>
      <x:c r="B5" t="n">
        <x:f>COUNTIF(EVENTOS!J2:J14,"Ejecutado")</x:f>
        <x:v>2</x:v>
      </x:c>
    </x:row>
    <x:row r="6">
      <x:c r="A6" s="26" t="str">
        <x:v>Pendientes</x:v>
      </x:c>
      <x:c r="B6" t="n">
        <x:f>COUNTIF(EVENTOS!J2:J14,"Pendiente")</x:f>
        <x:v>11</x:v>
      </x:c>
    </x:row>
    <x:row r="7">
      <x:c r="A7" s="26" t="str">
        <x:v>Prioridad Alta</x:v>
      </x:c>
      <x:c r="B7" t="n">
        <x:f>COUNTIF(EVENTOS!H2:H14,"Alta")</x:f>
        <x:v>10</x:v>
      </x:c>
    </x:row>
    <x:row r="8">
      <x:c r="A8" s="26" t="str">
        <x:v>Ubicaciones registradas</x:v>
      </x:c>
      <x:c r="B8" t="n">
        <x:f>COUNTA(EVENTOS!F2:F14)</x:f>
        <x:v>13</x:v>
      </x:c>
    </x:row>
  </x:sheetData>
  <x:mergeCells>
    <x:mergeCell ref="A1:F1"/>
  </x:mergeCells>
  <x:pageMargins left="0.7" right="0.7" top="0.75" bottom="0.75" header="0.3" footer="0.3"/>
</x:worksheet>
</file>