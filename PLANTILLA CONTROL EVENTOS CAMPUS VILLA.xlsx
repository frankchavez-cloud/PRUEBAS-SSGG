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CHAVEZC\Desktop\DASBOARD_EVENTOS\"/>
    </mc:Choice>
  </mc:AlternateContent>
  <xr:revisionPtr revIDLastSave="0" documentId="13_ncr:1_{2E7D997E-4E37-4280-9824-4D9F57376CE7}" xr6:coauthVersionLast="47" xr6:coauthVersionMax="47" xr10:uidLastSave="{00000000-0000-0000-0000-000000000000}"/>
  <bookViews>
    <workbookView xWindow="38290" yWindow="-110" windowWidth="38620" windowHeight="21100" xr2:uid="{00000000-000D-0000-FFFF-FFFF00000000}"/>
  </bookViews>
  <sheets>
    <sheet name="EVENTOS" sheetId="1" r:id="rId1"/>
    <sheet name="LISTAS" sheetId="2" r:id="rId2"/>
    <sheet name="RESUM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6" i="3"/>
  <c r="B5" i="3"/>
  <c r="B4" i="3"/>
</calcChain>
</file>

<file path=xl/sharedStrings.xml><?xml version="1.0" encoding="utf-8"?>
<sst xmlns="http://schemas.openxmlformats.org/spreadsheetml/2006/main" count="168" uniqueCount="88">
  <si>
    <t>Fecha</t>
  </si>
  <si>
    <t>Área Solicitante</t>
  </si>
  <si>
    <t>N° OT</t>
  </si>
  <si>
    <t>Evento / Actividad</t>
  </si>
  <si>
    <t>Ubicación</t>
  </si>
  <si>
    <t>Requerimientos</t>
  </si>
  <si>
    <t>Prioridad</t>
  </si>
  <si>
    <t>Categoría</t>
  </si>
  <si>
    <t>Estado</t>
  </si>
  <si>
    <t>29/05/2026</t>
  </si>
  <si>
    <t>08:00</t>
  </si>
  <si>
    <t>Seguridad</t>
  </si>
  <si>
    <t>OT-00125</t>
  </si>
  <si>
    <t>Simulacro Multipeligro</t>
  </si>
  <si>
    <t>Coordinación con brigadas y rutas de evacuación</t>
  </si>
  <si>
    <t>Alta</t>
  </si>
  <si>
    <t>Institucional</t>
  </si>
  <si>
    <t>Ejecutado</t>
  </si>
  <si>
    <t>31/05/2026</t>
  </si>
  <si>
    <t>VGU</t>
  </si>
  <si>
    <t>OT-81043</t>
  </si>
  <si>
    <t>evento lote 28</t>
  </si>
  <si>
    <t>4 toldos, 4 mesas, 4 manteles, sillas</t>
  </si>
  <si>
    <t>Pendiente</t>
  </si>
  <si>
    <t>Psicopedagogico</t>
  </si>
  <si>
    <t>CORREO</t>
  </si>
  <si>
    <t>1 extension para parlante</t>
  </si>
  <si>
    <t>09:00</t>
  </si>
  <si>
    <t>Enfermeria</t>
  </si>
  <si>
    <t>Auditorio Pabellon O</t>
  </si>
  <si>
    <t>Sillas, Podium, Mesas</t>
  </si>
  <si>
    <t>Estomatologia</t>
  </si>
  <si>
    <t>Canchas deportivas</t>
  </si>
  <si>
    <t>ninguno</t>
  </si>
  <si>
    <t>Media</t>
  </si>
  <si>
    <t>30/05/2026</t>
  </si>
  <si>
    <t>Servicios Generrales</t>
  </si>
  <si>
    <t>Cumpleaños Juan Hernandez</t>
  </si>
  <si>
    <t>Equipo villa</t>
  </si>
  <si>
    <t>01/06/2026</t>
  </si>
  <si>
    <t>SST</t>
  </si>
  <si>
    <t>Capacitacion SST</t>
  </si>
  <si>
    <t>Presencial</t>
  </si>
  <si>
    <t>Corporativo</t>
  </si>
  <si>
    <t>09/06/2026</t>
  </si>
  <si>
    <t>CARRERA DE INGIENERIA</t>
  </si>
  <si>
    <t>Concurso de Ingieneria Civil</t>
  </si>
  <si>
    <t>mesas</t>
  </si>
  <si>
    <t>Feria de Papers</t>
  </si>
  <si>
    <t>24/06/2026</t>
  </si>
  <si>
    <t>INGIENERIA AMBIENTAL</t>
  </si>
  <si>
    <t>SOL 9606</t>
  </si>
  <si>
    <t>Feria Ambiental 2026</t>
  </si>
  <si>
    <t>Sede Villa – Hall del Pabellón N</t>
  </si>
  <si>
    <t>Requerimiento:
10 mesas con mantel
20 sillas
Tomas eléctricas cercanas o extensiones eléctricas para stands (de ser posible)
Layout:
Se requiere retirar los muebles del hall y colocar las mesas alrededor del espacio.
La exhibición de EKOVA será reubicada hacia el lado de la escalera</t>
  </si>
  <si>
    <t>25/06/2026</t>
  </si>
  <si>
    <t>sol 9697</t>
  </si>
  <si>
    <t>Workshop de Líderes en Circularidad</t>
  </si>
  <si>
    <t>Hall del segundo piso – Pabellón O</t>
  </si>
  <si>
    <t>Requerimiento:
7 mesas con mantel
49 sillas
2 micrófonos inalámbricos con pilas nuevas
Equipo de sonido operativo
Proyector y conexión HDMI
Mesa adicional para coffee break
Layout:
Se colocarán 07 mesas en formato workshop con 07 sillas por mesa.
01 mesa será destinada al coffee break.
Se requiere retirar los muebles del hall frente al auditorio, ya que se implementará un espacio para fotos y networking.
Se requiere apoyo para el brandeo del espacio en coordinación con @Maria Luisa Leveau Besarez.</t>
  </si>
  <si>
    <t>sol 9608</t>
  </si>
  <si>
    <t>Ciclo de Conferencias: “Zero Waste: Ecodiseño y Negocios Sostenibles”</t>
  </si>
  <si>
    <t>Requerimiento:
40 sillas
Televisor con parante
Podio
Equipo de sonido con 2 micrófonos inalámbricos con pilas nuevas
Extensión eléctrica
Layout:
Las sillas se colocarán en formato auditorio orientadas hacia el televisor.
Se requiere retirar los muebles del hall.
La exhibición de EKOVA será reubicada temporalmente.
Se requiere apoyo para el brandeo del espacio en coordinación con @Maria Luisa Leveau Besarez.</t>
  </si>
  <si>
    <t>22/06/2026</t>
  </si>
  <si>
    <t>10:00</t>
  </si>
  <si>
    <t>sol 9609</t>
  </si>
  <si>
    <t>Exhibición: Biomateriales – EKOVA</t>
  </si>
  <si>
    <t>Instalación:
22 de junio – 10:00 a.m.
Retiro:
06 de julio – 10:00 a.m.
Sede Villa – Hall del Pabellón N
Requerimiento:
Retiro parcial de muebles para la implementación de la exhibición
Apoyo para ingreso y salida de materiales</t>
  </si>
  <si>
    <t>Programado</t>
  </si>
  <si>
    <t>Académico</t>
  </si>
  <si>
    <t>Baja</t>
  </si>
  <si>
    <t>Operativo</t>
  </si>
  <si>
    <t>Cancelado</t>
  </si>
  <si>
    <t>Reunión</t>
  </si>
  <si>
    <t>CONTROL DE EVENTOS CAMPUS VILLA - RESUMEN</t>
  </si>
  <si>
    <t>Indicador</t>
  </si>
  <si>
    <t>Cantidad</t>
  </si>
  <si>
    <t>Eventos</t>
  </si>
  <si>
    <t>Ejecutados</t>
  </si>
  <si>
    <t>Pendientes</t>
  </si>
  <si>
    <t>Prioridad Alta</t>
  </si>
  <si>
    <t>Ubicaciones registradas</t>
  </si>
  <si>
    <t>8</t>
  </si>
  <si>
    <t>EMPLEABILIDAD</t>
  </si>
  <si>
    <t>sol 9691</t>
  </si>
  <si>
    <t>Congreso Nacional e Internacional de Derecho Ambiental</t>
  </si>
  <si>
    <t xml:space="preserve">4 butacas - ok
1 mesa de centro de vidrio - ok
Banner institucional - indicar donde se ubica el banner, SSGG. no dispone de ello. 
1 podio - ok
1 estandarte del Perú - ok
4 vasos de vidrio - no esta dentro de nuestros implementos de habilitación. 
Letra C de Científica - según correo de MKT se procederá a trasladar. 
2 mesas revestidas con mantel de la Universidad - ok
90 sillas - el auditorio cuenta con 73 sillas
Respecto del Pabellón L de medicina:
40 sillas - indicar la ubicación de estas sillas.
1 mesa vestida con mantel de la Universidad - ok
4 asientos para ponentes - se colocara sillas, no butacas. </t>
  </si>
  <si>
    <t>Sede villa - pabellon O /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</si>
</sst>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font>
      <sz val="11"/>
      <name val="Carlito"/>
    </font>
    <font>
      <b/>
      <sz val="11"/>
      <color rgb="FFFFFFFF"/>
      <name val="Carlito"/>
    </font>
    <font>
      <b/>
      <sz val="16"/>
      <color rgb="FFFFFFFF"/>
      <name val="Carlito"/>
    </font>
    <font>
      <b/>
      <sz val="11"/>
      <name val="Carlito"/>
    </font>
  </fonts>
  <fills count="4">
    <fill>
      <patternFill patternType="none"/>
    </fill>
    <fill>
      <patternFill patternType="gray125"/>
    </fill>
    <fill>
      <patternFill patternType="solid">
        <fgColor rgb="FF7A0019"/>
      </patternFill>
    </fill>
    <fill>
      <patternFill patternType="solid">
        <fgColor rgb="FF1F2937"/>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0" fillId="0" borderId="0" xfId="0" applyAlignment="1">
      <alignment wrapText="1"/>
    </xf>
    <xf numFmtId="164" fontId="0" fillId="0" borderId="0" xfId="0" applyNumberFormat="1" applyAlignment="1">
      <alignment wrapText="1"/>
    </xf>
    <xf numFmtId="20" fontId="0" fillId="0" borderId="0" xfId="0" applyNumberFormat="1" applyAlignment="1">
      <alignment wrapText="1"/>
    </xf>
    <xf numFmtId="0" fontId="1" fillId="3" borderId="0" xfId="0" applyFont="1" applyFill="1"/>
    <xf numFmtId="0" fontId="1" fillId="3" borderId="0" xfId="0" applyFont="1" applyFill="1" applyAlignment="1">
      <alignment horizontal="center"/>
    </xf>
    <xf numFmtId="0" fontId="3" fillId="0" borderId="0" xfId="0" applyFont="1"/>
    <xf numFmtId="0" fontId="2" fillId="2" borderId="0" xfId="0" applyFont="1" applyFill="1" applyAlignment="1">
      <alignment horizontal="center"/>
    </xf>
    <xf numFmtId="0" fontId="0" fillId="0" borderId="0" xfId="0"/>
    <xf numFmtId="20" fontId="0" fillId="0" borderId="0" xfId="0" applyNumberFormat="1" applyAlignment="1">
      <alignment vertical="center"/>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horizontal="left" vertical="center"/>
    </xf>
  </cellXfs>
  <cellStyles count="1">
    <cellStyle name="Normal" xfId="0" builtinId="0"/>
  </cellStyles>
  <dxfs count="5">
    <dxf>
      <font>
        <b/>
        <color rgb="FF92400E"/>
      </font>
      <fill>
        <patternFill patternType="solid">
          <bgColor rgb="FFFEF3C7"/>
        </patternFill>
      </fill>
    </dxf>
    <dxf>
      <font>
        <b/>
        <color rgb="FF166534"/>
      </font>
      <fill>
        <patternFill patternType="solid">
          <bgColor rgb="FFDCFCE7"/>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ventosV4" displayName="TablaEventosV4" ref="A1:J16">
  <tableColumns count="10">
    <tableColumn id="1" xr3:uid="{00000000-0010-0000-0000-000001000000}" name="Fecha"/>
    <tableColumn id="2" xr3:uid="{00000000-0010-0000-0000-000002000000}" name="8"/>
    <tableColumn id="3" xr3:uid="{00000000-0010-0000-0000-000003000000}" name="Área Solicitante"/>
    <tableColumn id="4" xr3:uid="{00000000-0010-0000-0000-000004000000}" name="N° OT"/>
    <tableColumn id="5" xr3:uid="{00000000-0010-0000-0000-000005000000}" name="Evento / Actividad"/>
    <tableColumn id="6" xr3:uid="{00000000-0010-0000-0000-000006000000}" name="Ubicación"/>
    <tableColumn id="7" xr3:uid="{00000000-0010-0000-0000-000007000000}" name="Requerimientos"/>
    <tableColumn id="8" xr3:uid="{00000000-0010-0000-0000-000008000000}" name="Prioridad"/>
    <tableColumn id="9" xr3:uid="{00000000-0010-0000-0000-000009000000}" name="Categoría"/>
    <tableColumn id="10" xr3:uid="{00000000-0010-0000-0000-00000A000000}" name="Est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topLeftCell="A13" workbookViewId="0">
      <selection activeCell="P16" sqref="P16"/>
    </sheetView>
  </sheetViews>
  <sheetFormatPr baseColWidth="10" defaultColWidth="9" defaultRowHeight="14.25"/>
  <cols>
    <col min="1" max="1" width="14" customWidth="1"/>
    <col min="2" max="2" width="10" customWidth="1"/>
    <col min="3" max="3" width="24" customWidth="1"/>
    <col min="4" max="4" width="16" customWidth="1"/>
    <col min="5" max="6" width="34" customWidth="1"/>
    <col min="7" max="7" width="48" customWidth="1"/>
    <col min="8" max="8" width="14" customWidth="1"/>
    <col min="9" max="9" width="18" customWidth="1"/>
    <col min="10" max="10" width="16" customWidth="1"/>
  </cols>
  <sheetData>
    <row r="1" spans="1:10" ht="26.1" customHeight="1">
      <c r="A1" s="1" t="s">
        <v>0</v>
      </c>
      <c r="B1" s="1" t="s">
        <v>82</v>
      </c>
      <c r="C1" s="1" t="s">
        <v>1</v>
      </c>
      <c r="D1" s="1" t="s">
        <v>2</v>
      </c>
      <c r="E1" s="1" t="s">
        <v>3</v>
      </c>
      <c r="F1" s="1" t="s">
        <v>4</v>
      </c>
      <c r="G1" s="1" t="s">
        <v>5</v>
      </c>
      <c r="H1" s="1" t="s">
        <v>6</v>
      </c>
      <c r="I1" s="1" t="s">
        <v>7</v>
      </c>
      <c r="J1" s="1" t="s">
        <v>8</v>
      </c>
    </row>
    <row r="2" spans="1:10" ht="15">
      <c r="A2" s="3" t="s">
        <v>9</v>
      </c>
      <c r="B2" s="4" t="s">
        <v>10</v>
      </c>
      <c r="C2" s="2" t="s">
        <v>11</v>
      </c>
      <c r="D2" s="2" t="s">
        <v>12</v>
      </c>
      <c r="E2" s="2" t="s">
        <v>13</v>
      </c>
      <c r="F2" s="2"/>
      <c r="G2" s="2" t="s">
        <v>14</v>
      </c>
      <c r="H2" s="2" t="s">
        <v>15</v>
      </c>
      <c r="I2" s="2" t="s">
        <v>16</v>
      </c>
      <c r="J2" s="2" t="s">
        <v>17</v>
      </c>
    </row>
    <row r="3" spans="1:10" ht="15">
      <c r="A3" s="3" t="s">
        <v>18</v>
      </c>
      <c r="B3" s="4" t="s">
        <v>10</v>
      </c>
      <c r="C3" s="2" t="s">
        <v>19</v>
      </c>
      <c r="D3" s="2" t="s">
        <v>20</v>
      </c>
      <c r="E3" s="2" t="s">
        <v>21</v>
      </c>
      <c r="F3" s="2"/>
      <c r="G3" s="2" t="s">
        <v>22</v>
      </c>
      <c r="H3" s="2" t="s">
        <v>15</v>
      </c>
      <c r="I3" s="2" t="s">
        <v>16</v>
      </c>
      <c r="J3" s="2" t="s">
        <v>23</v>
      </c>
    </row>
    <row r="4" spans="1:10" ht="15">
      <c r="A4" s="3" t="s">
        <v>18</v>
      </c>
      <c r="B4" s="4" t="s">
        <v>10</v>
      </c>
      <c r="C4" s="2" t="s">
        <v>24</v>
      </c>
      <c r="D4" s="2" t="s">
        <v>25</v>
      </c>
      <c r="E4" s="2" t="s">
        <v>21</v>
      </c>
      <c r="F4" s="2"/>
      <c r="G4" s="2" t="s">
        <v>26</v>
      </c>
      <c r="H4" s="2" t="s">
        <v>15</v>
      </c>
      <c r="I4" s="2" t="s">
        <v>16</v>
      </c>
      <c r="J4" s="2" t="s">
        <v>23</v>
      </c>
    </row>
    <row r="5" spans="1:10" ht="15">
      <c r="A5" s="3" t="s">
        <v>18</v>
      </c>
      <c r="B5" s="4" t="s">
        <v>27</v>
      </c>
      <c r="C5" s="2" t="s">
        <v>28</v>
      </c>
      <c r="D5" s="2" t="s">
        <v>25</v>
      </c>
      <c r="E5" s="2" t="s">
        <v>29</v>
      </c>
      <c r="F5" s="2"/>
      <c r="G5" s="2" t="s">
        <v>30</v>
      </c>
      <c r="H5" s="2" t="s">
        <v>15</v>
      </c>
      <c r="I5" s="2" t="s">
        <v>16</v>
      </c>
      <c r="J5" s="2" t="s">
        <v>23</v>
      </c>
    </row>
    <row r="6" spans="1:10" ht="15">
      <c r="A6" s="3" t="s">
        <v>18</v>
      </c>
      <c r="B6" s="4" t="s">
        <v>27</v>
      </c>
      <c r="C6" s="2" t="s">
        <v>31</v>
      </c>
      <c r="D6" s="2"/>
      <c r="E6" s="2" t="s">
        <v>32</v>
      </c>
      <c r="F6" s="2"/>
      <c r="G6" s="2" t="s">
        <v>33</v>
      </c>
      <c r="H6" s="2" t="s">
        <v>34</v>
      </c>
      <c r="I6" s="2" t="s">
        <v>16</v>
      </c>
      <c r="J6" s="2" t="s">
        <v>23</v>
      </c>
    </row>
    <row r="7" spans="1:10" ht="15">
      <c r="A7" s="3" t="s">
        <v>35</v>
      </c>
      <c r="B7" s="4" t="s">
        <v>10</v>
      </c>
      <c r="C7" s="2" t="s">
        <v>36</v>
      </c>
      <c r="D7" s="2"/>
      <c r="E7" s="2" t="s">
        <v>37</v>
      </c>
      <c r="F7" s="2"/>
      <c r="G7" s="2"/>
      <c r="H7" s="2" t="s">
        <v>15</v>
      </c>
      <c r="I7" s="2" t="s">
        <v>38</v>
      </c>
      <c r="J7" s="2" t="s">
        <v>17</v>
      </c>
    </row>
    <row r="8" spans="1:10" ht="15">
      <c r="A8" s="3" t="s">
        <v>39</v>
      </c>
      <c r="B8" s="4" t="s">
        <v>10</v>
      </c>
      <c r="C8" s="2" t="s">
        <v>40</v>
      </c>
      <c r="D8" s="2" t="s">
        <v>25</v>
      </c>
      <c r="E8" s="2" t="s">
        <v>41</v>
      </c>
      <c r="F8" s="2"/>
      <c r="G8" s="2" t="s">
        <v>42</v>
      </c>
      <c r="H8" s="2" t="s">
        <v>15</v>
      </c>
      <c r="I8" s="2" t="s">
        <v>43</v>
      </c>
      <c r="J8" s="2" t="s">
        <v>23</v>
      </c>
    </row>
    <row r="9" spans="1:10" ht="15">
      <c r="A9" s="3" t="s">
        <v>44</v>
      </c>
      <c r="B9" s="4" t="s">
        <v>10</v>
      </c>
      <c r="C9" s="2" t="s">
        <v>45</v>
      </c>
      <c r="D9" s="2" t="s">
        <v>25</v>
      </c>
      <c r="E9" s="2" t="s">
        <v>46</v>
      </c>
      <c r="F9" s="2"/>
      <c r="G9" s="2" t="s">
        <v>47</v>
      </c>
      <c r="H9" s="2" t="s">
        <v>34</v>
      </c>
      <c r="I9" s="2" t="s">
        <v>16</v>
      </c>
      <c r="J9" s="2" t="s">
        <v>23</v>
      </c>
    </row>
    <row r="10" spans="1:10" ht="15">
      <c r="A10" s="3" t="s">
        <v>44</v>
      </c>
      <c r="B10" s="4" t="s">
        <v>10</v>
      </c>
      <c r="C10" s="2" t="s">
        <v>45</v>
      </c>
      <c r="D10" s="2" t="s">
        <v>25</v>
      </c>
      <c r="E10" s="2" t="s">
        <v>48</v>
      </c>
      <c r="F10" s="2"/>
      <c r="G10" s="2" t="s">
        <v>47</v>
      </c>
      <c r="H10" s="2" t="s">
        <v>34</v>
      </c>
      <c r="I10" s="2" t="s">
        <v>16</v>
      </c>
      <c r="J10" s="2" t="s">
        <v>23</v>
      </c>
    </row>
    <row r="11" spans="1:10" ht="143.25">
      <c r="A11" s="3" t="s">
        <v>49</v>
      </c>
      <c r="B11" s="4" t="s">
        <v>10</v>
      </c>
      <c r="C11" s="2" t="s">
        <v>50</v>
      </c>
      <c r="D11" s="2" t="s">
        <v>51</v>
      </c>
      <c r="E11" s="2" t="s">
        <v>52</v>
      </c>
      <c r="F11" s="2" t="s">
        <v>53</v>
      </c>
      <c r="G11" s="2" t="s">
        <v>54</v>
      </c>
      <c r="H11" s="2" t="s">
        <v>15</v>
      </c>
      <c r="I11" s="2" t="s">
        <v>16</v>
      </c>
      <c r="J11" s="2" t="s">
        <v>23</v>
      </c>
    </row>
    <row r="12" spans="1:10" ht="228.75">
      <c r="A12" s="3" t="s">
        <v>55</v>
      </c>
      <c r="B12" s="4" t="s">
        <v>10</v>
      </c>
      <c r="C12" s="2" t="s">
        <v>50</v>
      </c>
      <c r="D12" s="2" t="s">
        <v>56</v>
      </c>
      <c r="E12" s="2" t="s">
        <v>57</v>
      </c>
      <c r="F12" s="2" t="s">
        <v>58</v>
      </c>
      <c r="G12" s="2" t="s">
        <v>59</v>
      </c>
      <c r="H12" s="2" t="s">
        <v>15</v>
      </c>
      <c r="I12" s="2" t="s">
        <v>16</v>
      </c>
      <c r="J12" s="2" t="s">
        <v>23</v>
      </c>
    </row>
    <row r="13" spans="1:10" ht="200.25">
      <c r="A13" s="3" t="s">
        <v>55</v>
      </c>
      <c r="B13" s="4" t="s">
        <v>10</v>
      </c>
      <c r="C13" s="2" t="s">
        <v>50</v>
      </c>
      <c r="D13" s="2" t="s">
        <v>60</v>
      </c>
      <c r="E13" s="2" t="s">
        <v>61</v>
      </c>
      <c r="F13" s="2" t="s">
        <v>53</v>
      </c>
      <c r="G13" s="2" t="s">
        <v>62</v>
      </c>
      <c r="H13" s="2" t="s">
        <v>15</v>
      </c>
      <c r="I13" s="2" t="s">
        <v>16</v>
      </c>
      <c r="J13" s="2" t="s">
        <v>23</v>
      </c>
    </row>
    <row r="14" spans="1:10" ht="129">
      <c r="A14" s="3" t="s">
        <v>63</v>
      </c>
      <c r="B14" s="4" t="s">
        <v>64</v>
      </c>
      <c r="C14" s="2" t="s">
        <v>50</v>
      </c>
      <c r="D14" s="2" t="s">
        <v>65</v>
      </c>
      <c r="E14" s="2" t="s">
        <v>66</v>
      </c>
      <c r="F14" s="2" t="s">
        <v>53</v>
      </c>
      <c r="G14" s="2" t="s">
        <v>67</v>
      </c>
      <c r="H14" s="2" t="s">
        <v>15</v>
      </c>
      <c r="I14" s="2" t="s">
        <v>16</v>
      </c>
      <c r="J14" s="2" t="s">
        <v>23</v>
      </c>
    </row>
    <row r="15" spans="1:10" ht="270.75">
      <c r="A15" s="13">
        <v>46177</v>
      </c>
      <c r="B15" s="10">
        <v>0.33333333333333331</v>
      </c>
      <c r="C15" s="11" t="s">
        <v>83</v>
      </c>
      <c r="D15" s="11" t="s">
        <v>84</v>
      </c>
      <c r="E15" s="11" t="s">
        <v>85</v>
      </c>
      <c r="F15" s="11" t="s">
        <v>87</v>
      </c>
      <c r="G15" s="12" t="s">
        <v>86</v>
      </c>
      <c r="H15" s="11" t="s">
        <v>15</v>
      </c>
      <c r="I15" s="11" t="s">
        <v>16</v>
      </c>
      <c r="J15" s="11" t="s">
        <v>23</v>
      </c>
    </row>
    <row r="16" spans="1:10" ht="270.75">
      <c r="A16" s="13">
        <v>46178</v>
      </c>
      <c r="B16" s="10">
        <v>0.33333333333333331</v>
      </c>
      <c r="C16" s="11" t="s">
        <v>83</v>
      </c>
      <c r="D16" s="11" t="s">
        <v>84</v>
      </c>
      <c r="E16" s="11" t="s">
        <v>85</v>
      </c>
      <c r="F16" s="11" t="s">
        <v>87</v>
      </c>
      <c r="G16" s="12" t="s">
        <v>86</v>
      </c>
      <c r="H16" s="11" t="s">
        <v>15</v>
      </c>
      <c r="I16" s="11" t="s">
        <v>16</v>
      </c>
      <c r="J16" s="11" t="s">
        <v>23</v>
      </c>
    </row>
  </sheetData>
  <conditionalFormatting sqref="H2:H64">
    <cfRule type="expression" dxfId="4" priority="1">
      <formula>H2="Alta"</formula>
    </cfRule>
    <cfRule type="expression" dxfId="3" priority="2">
      <formula>H2="Media"</formula>
    </cfRule>
    <cfRule type="expression" dxfId="2" priority="3">
      <formula>H2="Baja"</formula>
    </cfRule>
  </conditionalFormatting>
  <conditionalFormatting sqref="J2:J64">
    <cfRule type="expression" dxfId="1" priority="4">
      <formula>J2="Ejecutado"</formula>
    </cfRule>
    <cfRule type="expression" dxfId="0" priority="5">
      <formula>J2="Pendiente"</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000-000000000000}">
          <x14:formula1>
            <xm:f>LISTAS!$A$2:$A$4</xm:f>
          </x14:formula1>
          <xm:sqref>H2:H64</xm:sqref>
        </x14:dataValidation>
        <x14:dataValidation type="list" xr:uid="{00000000-0002-0000-0000-000001000000}">
          <x14:formula1>
            <xm:f>LISTAS!$C$2:$C$7</xm:f>
          </x14:formula1>
          <xm:sqref>I2:I64</xm:sqref>
        </x14:dataValidation>
        <x14:dataValidation type="list" xr:uid="{00000000-0002-0000-0000-000002000000}">
          <x14:formula1>
            <xm:f>LISTAS!$B$2:$B$5</xm:f>
          </x14:formula1>
          <xm:sqref>J2:J64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baseColWidth="10" defaultColWidth="9" defaultRowHeight="14.25"/>
  <cols>
    <col min="1" max="3" width="18" customWidth="1"/>
  </cols>
  <sheetData>
    <row r="1" spans="1:3" ht="15">
      <c r="A1" s="6" t="s">
        <v>6</v>
      </c>
      <c r="B1" s="6" t="s">
        <v>8</v>
      </c>
      <c r="C1" s="6" t="s">
        <v>7</v>
      </c>
    </row>
    <row r="2" spans="1:3">
      <c r="A2" t="s">
        <v>15</v>
      </c>
      <c r="B2" t="s">
        <v>68</v>
      </c>
      <c r="C2" t="s">
        <v>16</v>
      </c>
    </row>
    <row r="3" spans="1:3">
      <c r="A3" t="s">
        <v>34</v>
      </c>
      <c r="B3" t="s">
        <v>17</v>
      </c>
      <c r="C3" t="s">
        <v>69</v>
      </c>
    </row>
    <row r="4" spans="1:3">
      <c r="A4" t="s">
        <v>70</v>
      </c>
      <c r="B4" t="s">
        <v>23</v>
      </c>
      <c r="C4" t="s">
        <v>71</v>
      </c>
    </row>
    <row r="5" spans="1:3">
      <c r="B5" t="s">
        <v>72</v>
      </c>
      <c r="C5" t="s">
        <v>73</v>
      </c>
    </row>
    <row r="6" spans="1:3">
      <c r="C6" t="s">
        <v>43</v>
      </c>
    </row>
    <row r="7" spans="1:3">
      <c r="C7"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election sqref="A1:F1"/>
    </sheetView>
  </sheetViews>
  <sheetFormatPr baseColWidth="10" defaultColWidth="9" defaultRowHeight="14.25"/>
  <cols>
    <col min="1" max="2" width="24" customWidth="1"/>
  </cols>
  <sheetData>
    <row r="1" spans="1:6" ht="30" customHeight="1">
      <c r="A1" s="8" t="s">
        <v>74</v>
      </c>
      <c r="B1" s="9"/>
      <c r="C1" s="9"/>
      <c r="D1" s="9"/>
      <c r="E1" s="9"/>
      <c r="F1" s="9"/>
    </row>
    <row r="3" spans="1:6" ht="15">
      <c r="A3" s="5" t="s">
        <v>75</v>
      </c>
      <c r="B3" s="5" t="s">
        <v>76</v>
      </c>
    </row>
    <row r="4" spans="1:6" ht="15">
      <c r="A4" s="7" t="s">
        <v>77</v>
      </c>
      <c r="B4">
        <f>COUNTA(EVENTOS!E2:E16)</f>
        <v>15</v>
      </c>
    </row>
    <row r="5" spans="1:6" ht="15">
      <c r="A5" s="7" t="s">
        <v>78</v>
      </c>
      <c r="B5">
        <f>COUNTIF(EVENTOS!J2:J16,"Ejecutado")</f>
        <v>2</v>
      </c>
    </row>
    <row r="6" spans="1:6" ht="15">
      <c r="A6" s="7" t="s">
        <v>79</v>
      </c>
      <c r="B6">
        <f>COUNTIF(EVENTOS!J2:J16,"Pendiente")</f>
        <v>13</v>
      </c>
    </row>
    <row r="7" spans="1:6" ht="15">
      <c r="A7" s="7" t="s">
        <v>80</v>
      </c>
      <c r="B7">
        <f>COUNTIF(EVENTOS!H2:H16,"Alta")</f>
        <v>12</v>
      </c>
    </row>
    <row r="8" spans="1:6" ht="15">
      <c r="A8" s="7" t="s">
        <v>81</v>
      </c>
      <c r="B8">
        <f>COUNTA(EVENTOS!F2:F16)</f>
        <v>6</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EVENTOS</vt:lpstr>
      <vt:lpstr>LISTAS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Francisco Camilo Chavez Cruz</cp:lastModifiedBy>
  <dcterms:modified xsi:type="dcterms:W3CDTF">2026-06-03T20:40:01Z</dcterms:modified>
</cp:coreProperties>
</file>